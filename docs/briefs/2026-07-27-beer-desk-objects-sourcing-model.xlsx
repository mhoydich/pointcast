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ing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;($#,##0);-"/>
    <numFmt numFmtId="166" formatCode="$#,##0.00;($#,##0.00);-"/>
    <numFmt numFmtId="167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</font>
    <font>
      <name val="Arial"/>
      <color rgb="000000FF"/>
    </font>
    <font>
      <name val="Arial"/>
      <color rgb="00666666"/>
      <sz val="9"/>
    </font>
    <font>
      <name val="Arial"/>
      <sz val="9"/>
    </font>
    <font>
      <name val="Arial"/>
      <b val="1"/>
      <color rgb="00FFFF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F3B7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4" fontId="5" fillId="2" borderId="0" pivotButton="0" quotePrefix="0" xfId="0"/>
    <xf numFmtId="3" fontId="5" fillId="2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4" fillId="0" borderId="1" pivotButton="0" quotePrefix="0" xfId="0"/>
    <xf numFmtId="0" fontId="5" fillId="2" borderId="1" pivotButton="0" quotePrefix="0" xfId="0"/>
    <xf numFmtId="165" fontId="5" fillId="2" borderId="1" pivotButton="0" quotePrefix="0" xfId="0"/>
    <xf numFmtId="166" fontId="5" fillId="2" borderId="1" pivotButton="0" quotePrefix="0" xfId="0"/>
    <xf numFmtId="166" fontId="9" fillId="0" borderId="1" pivotButton="0" quotePrefix="0" xfId="0"/>
    <xf numFmtId="164" fontId="9" fillId="0" borderId="1" pivotButton="0" quotePrefix="0" xfId="0"/>
    <xf numFmtId="165" fontId="4" fillId="0" borderId="1" pivotButton="0" quotePrefix="0" xfId="0"/>
    <xf numFmtId="3" fontId="9" fillId="0" borderId="1" pivotButton="0" quotePrefix="0" xfId="0"/>
    <xf numFmtId="167" fontId="9" fillId="0" borderId="1" pivotButton="0" quotePrefix="0" xfId="0"/>
    <xf numFmtId="16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Unit costs and MOQs are planning estimates typical of 2026 small-batch vendors (Etsy fabs, Ponoko-style laser shops, pin fabs, Alibaba small-lot). Replace yellow cells with real quotes as they arrive.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>
      <c r="A1" s="1" t="inlineStr">
        <is>
          <t>Beer-Adjacent Desk Objects — Low-MOQ Sourcing Model</t>
        </is>
      </c>
    </row>
    <row r="2">
      <c r="A2" s="2" t="inlineStr">
        <is>
          <t>All costs are Claude estimates for planning (typical 2026 small-batch / POD vendor ranges), not vendor quotes. Numbers from Mike: none yet.</t>
        </is>
      </c>
    </row>
    <row r="4">
      <c r="A4" s="3" t="inlineStr">
        <is>
          <t>Global levers</t>
        </is>
      </c>
    </row>
    <row r="5">
      <c r="A5" s="4" t="inlineStr">
        <is>
          <t>Inbound freight, % of unit cost</t>
        </is>
      </c>
      <c r="B5" s="5" t="n">
        <v>0.18</v>
      </c>
      <c r="C5" s="6" t="inlineStr">
        <is>
          <t>Small-batch air/ePacket from overseas fabs; ~5-8% if sourced domestic</t>
        </is>
      </c>
    </row>
    <row r="6">
      <c r="A6" s="4" t="inlineStr">
        <is>
          <t>Duty + import fees, % of unit cost</t>
        </is>
      </c>
      <c r="B6" s="5" t="n">
        <v>0.07000000000000001</v>
      </c>
      <c r="C6" s="6" t="inlineStr">
        <is>
          <t>Blended estimate; ceramics/metal vary 0-9%</t>
        </is>
      </c>
    </row>
    <row r="7">
      <c r="A7" s="4" t="inlineStr">
        <is>
          <t>Defect / breakage allowance, %</t>
        </is>
      </c>
      <c r="B7" s="5" t="n">
        <v>0.05</v>
      </c>
      <c r="C7" s="6" t="inlineStr">
        <is>
          <t>Ceramics &amp; resin dominate the lineup</t>
        </is>
      </c>
    </row>
    <row r="8">
      <c r="A8" s="4" t="inlineStr">
        <is>
          <t>Fulfillment cost per order ($)</t>
        </is>
      </c>
      <c r="B8" s="7" t="n">
        <v>5.5</v>
      </c>
      <c r="C8" s="6" t="inlineStr">
        <is>
          <t>Pick/pack + domestic ship, small parcel</t>
        </is>
      </c>
    </row>
    <row r="9">
      <c r="A9" s="4" t="inlineStr">
        <is>
          <t>Assumed sell rate, units / product / month</t>
        </is>
      </c>
      <c r="B9" s="8" t="n">
        <v>12</v>
      </c>
      <c r="C9" s="6" t="inlineStr">
        <is>
          <t>Conservative early Etsy/site pace</t>
        </is>
      </c>
    </row>
    <row r="11">
      <c r="A11" s="3" t="inlineStr">
        <is>
          <t>Legend</t>
        </is>
      </c>
    </row>
    <row r="12">
      <c r="A12" s="9" t="inlineStr">
        <is>
          <t>Blue text on yellow</t>
        </is>
      </c>
      <c r="B12" s="10" t="inlineStr">
        <is>
          <t>Editable input / assumption — change these</t>
        </is>
      </c>
    </row>
    <row r="13">
      <c r="A13" s="4" t="inlineStr">
        <is>
          <t>Black text</t>
        </is>
      </c>
      <c r="B13" s="10" t="inlineStr">
        <is>
          <t>Formula — do not overwrite</t>
        </is>
      </c>
    </row>
    <row r="14">
      <c r="A14" s="4" t="inlineStr">
        <is>
          <t>Green text</t>
        </is>
      </c>
      <c r="B14" s="10" t="inlineStr">
        <is>
          <t>Pulls from another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28" customWidth="1" min="3" max="3"/>
    <col width="10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13" customWidth="1" min="10" max="10"/>
    <col width="12" customWidth="1" min="11" max="11"/>
    <col width="12" customWidth="1" min="12" max="12"/>
  </cols>
  <sheetData>
    <row r="1">
      <c r="A1" s="11" t="inlineStr">
        <is>
          <t>Product</t>
        </is>
      </c>
      <c r="B1" s="11" t="inlineStr">
        <is>
          <t>Batch</t>
        </is>
      </c>
      <c r="C1" s="11" t="inlineStr">
        <is>
          <t>Sourcing route</t>
        </is>
      </c>
      <c r="D1" s="11" t="inlineStr">
        <is>
          <t>MOQ (units)</t>
        </is>
      </c>
      <c r="E1" s="11" t="inlineStr">
        <is>
          <t>Tooling / setup ($)</t>
        </is>
      </c>
      <c r="F1" s="11" t="inlineStr">
        <is>
          <t>Unit cost @ MOQ ($)</t>
        </is>
      </c>
      <c r="G1" s="11" t="inlineStr">
        <is>
          <t>Landed unit cost ($)</t>
        </is>
      </c>
      <c r="H1" s="11" t="inlineStr">
        <is>
          <t>Retail price ($)</t>
        </is>
      </c>
      <c r="I1" s="11" t="inlineStr">
        <is>
          <t>Gross margin (%)</t>
        </is>
      </c>
      <c r="J1" s="11" t="inlineStr">
        <is>
          <t>MOQ cash outlay ($)</t>
        </is>
      </c>
      <c r="K1" s="11" t="inlineStr">
        <is>
          <t>Break-even (units)</t>
        </is>
      </c>
      <c r="L1" s="11" t="inlineStr">
        <is>
          <t>Months to break even</t>
        </is>
      </c>
    </row>
    <row r="2">
      <c r="A2" s="12" t="inlineStr">
        <is>
          <t>Wave Plinth (can pedestal)</t>
        </is>
      </c>
      <c r="B2" s="12" t="n">
        <v>1</v>
      </c>
      <c r="C2" s="12" t="inlineStr">
        <is>
          <t>Small-batch ceramics studio</t>
        </is>
      </c>
      <c r="D2" s="13" t="n">
        <v>50</v>
      </c>
      <c r="E2" s="14" t="n">
        <v>250</v>
      </c>
      <c r="F2" s="15" t="n">
        <v>6.5</v>
      </c>
      <c r="G2" s="16">
        <f>F2*(1+Assumptions!$B$5+Assumptions!$B$6+Assumptions!$B$7)</f>
        <v/>
      </c>
      <c r="H2" s="14" t="n">
        <v>34</v>
      </c>
      <c r="I2" s="17">
        <f>IF(H2=0,0,(H2-G2-Assumptions!$B$8)/H2)</f>
        <v/>
      </c>
      <c r="J2" s="18">
        <f>E2+D2*F2</f>
        <v/>
      </c>
      <c r="K2" s="19">
        <f>IF((H2-G2-Assumptions!$B$8)&lt;=0,0,J2/(H2-G2-Assumptions!$B$8))</f>
        <v/>
      </c>
      <c r="L2" s="20">
        <f>IF(Assumptions!$B$9=0,0,K2/Assumptions!$B$9)</f>
        <v/>
      </c>
    </row>
    <row r="3">
      <c r="A3" s="12" t="inlineStr">
        <is>
          <t>Tidepool Coaster</t>
        </is>
      </c>
      <c r="B3" s="12" t="n">
        <v>1</v>
      </c>
      <c r="C3" s="12" t="inlineStr">
        <is>
          <t>In-house resin casting</t>
        </is>
      </c>
      <c r="D3" s="13" t="n">
        <v>25</v>
      </c>
      <c r="E3" s="14" t="n">
        <v>180</v>
      </c>
      <c r="F3" s="15" t="n">
        <v>4.2</v>
      </c>
      <c r="G3" s="16">
        <f>F3*(1+Assumptions!$B$5+Assumptions!$B$6+Assumptions!$B$7)</f>
        <v/>
      </c>
      <c r="H3" s="14" t="n">
        <v>24</v>
      </c>
      <c r="I3" s="17">
        <f>IF(H3=0,0,(H3-G3-Assumptions!$B$8)/H3)</f>
        <v/>
      </c>
      <c r="J3" s="18">
        <f>E3+D3*F3</f>
        <v/>
      </c>
      <c r="K3" s="19">
        <f>IF((H3-G3-Assumptions!$B$8)&lt;=0,0,J3/(H3-G3-Assumptions!$B$8))</f>
        <v/>
      </c>
      <c r="L3" s="20">
        <f>IF(Assumptions!$B$9=0,0,K3/Assumptions!$B$9)</f>
        <v/>
      </c>
    </row>
    <row r="4">
      <c r="A4" s="12" t="inlineStr">
        <is>
          <t>Snack Butte (terraced dish)</t>
        </is>
      </c>
      <c r="B4" s="12" t="n">
        <v>1</v>
      </c>
      <c r="C4" s="12" t="inlineStr">
        <is>
          <t>Small-batch ceramics studio</t>
        </is>
      </c>
      <c r="D4" s="13" t="n">
        <v>50</v>
      </c>
      <c r="E4" s="14" t="n">
        <v>300</v>
      </c>
      <c r="F4" s="15" t="n">
        <v>8</v>
      </c>
      <c r="G4" s="16">
        <f>F4*(1+Assumptions!$B$5+Assumptions!$B$6+Assumptions!$B$7)</f>
        <v/>
      </c>
      <c r="H4" s="14" t="n">
        <v>42</v>
      </c>
      <c r="I4" s="17">
        <f>IF(H4=0,0,(H4-G4-Assumptions!$B$8)/H4)</f>
        <v/>
      </c>
      <c r="J4" s="18">
        <f>E4+D4*F4</f>
        <v/>
      </c>
      <c r="K4" s="19">
        <f>IF((H4-G4-Assumptions!$B$8)&lt;=0,0,J4/(H4-G4-Assumptions!$B$8))</f>
        <v/>
      </c>
      <c r="L4" s="20">
        <f>IF(Assumptions!$B$9=0,0,K4/Assumptions!$B$9)</f>
        <v/>
      </c>
    </row>
    <row r="5">
      <c r="A5" s="12" t="inlineStr">
        <is>
          <t>Cap Dominoes (tile game set)</t>
        </is>
      </c>
      <c r="B5" s="12" t="n">
        <v>1</v>
      </c>
      <c r="C5" s="12" t="inlineStr">
        <is>
          <t>Local print + laminate</t>
        </is>
      </c>
      <c r="D5" s="13" t="n">
        <v>25</v>
      </c>
      <c r="E5" s="14" t="n">
        <v>60</v>
      </c>
      <c r="F5" s="15" t="n">
        <v>5.5</v>
      </c>
      <c r="G5" s="16">
        <f>F5*(1+Assumptions!$B$5+Assumptions!$B$6+Assumptions!$B$7)</f>
        <v/>
      </c>
      <c r="H5" s="14" t="n">
        <v>28</v>
      </c>
      <c r="I5" s="17">
        <f>IF(H5=0,0,(H5-G5-Assumptions!$B$8)/H5)</f>
        <v/>
      </c>
      <c r="J5" s="18">
        <f>E5+D5*F5</f>
        <v/>
      </c>
      <c r="K5" s="19">
        <f>IF((H5-G5-Assumptions!$B$8)&lt;=0,0,J5/(H5-G5-Assumptions!$B$8))</f>
        <v/>
      </c>
      <c r="L5" s="20">
        <f>IF(Assumptions!$B$9=0,0,K5/Assumptions!$B$9)</f>
        <v/>
      </c>
    </row>
    <row r="6">
      <c r="A6" s="12" t="inlineStr">
        <is>
          <t>Weighted Wave Block</t>
        </is>
      </c>
      <c r="B6" s="12" t="n">
        <v>1</v>
      </c>
      <c r="C6" s="12" t="inlineStr">
        <is>
          <t>Acrylic embedment fab</t>
        </is>
      </c>
      <c r="D6" s="13" t="n">
        <v>50</v>
      </c>
      <c r="E6" s="14" t="n">
        <v>200</v>
      </c>
      <c r="F6" s="15" t="n">
        <v>9</v>
      </c>
      <c r="G6" s="16">
        <f>F6*(1+Assumptions!$B$5+Assumptions!$B$6+Assumptions!$B$7)</f>
        <v/>
      </c>
      <c r="H6" s="14" t="n">
        <v>48</v>
      </c>
      <c r="I6" s="17">
        <f>IF(H6=0,0,(H6-G6-Assumptions!$B$8)/H6)</f>
        <v/>
      </c>
      <c r="J6" s="18">
        <f>E6+D6*F6</f>
        <v/>
      </c>
      <c r="K6" s="19">
        <f>IF((H6-G6-Assumptions!$B$8)&lt;=0,0,J6/(H6-G6-Assumptions!$B$8))</f>
        <v/>
      </c>
      <c r="L6" s="20">
        <f>IF(Assumptions!$B$9=0,0,K6/Assumptions!$B$9)</f>
        <v/>
      </c>
    </row>
    <row r="7">
      <c r="A7" s="12" t="inlineStr">
        <is>
          <t>Cap Crane (desk gadget)</t>
        </is>
      </c>
      <c r="B7" s="12" t="n">
        <v>1</v>
      </c>
      <c r="C7" s="12" t="inlineStr">
        <is>
          <t>3D print + hardware kit</t>
        </is>
      </c>
      <c r="D7" s="13" t="n">
        <v>25</v>
      </c>
      <c r="E7" s="14" t="n">
        <v>120</v>
      </c>
      <c r="F7" s="15" t="n">
        <v>11</v>
      </c>
      <c r="G7" s="16">
        <f>F7*(1+Assumptions!$B$5+Assumptions!$B$6+Assumptions!$B$7)</f>
        <v/>
      </c>
      <c r="H7" s="14" t="n">
        <v>55</v>
      </c>
      <c r="I7" s="17">
        <f>IF(H7=0,0,(H7-G7-Assumptions!$B$8)/H7)</f>
        <v/>
      </c>
      <c r="J7" s="18">
        <f>E7+D7*F7</f>
        <v/>
      </c>
      <c r="K7" s="19">
        <f>IF((H7-G7-Assumptions!$B$8)&lt;=0,0,J7/(H7-G7-Assumptions!$B$8))</f>
        <v/>
      </c>
      <c r="L7" s="20">
        <f>IF(Assumptions!$B$9=0,0,K7/Assumptions!$B$9)</f>
        <v/>
      </c>
    </row>
    <row r="8">
      <c r="A8" s="12" t="inlineStr">
        <is>
          <t>Beer Archive Blocks</t>
        </is>
      </c>
      <c r="B8" s="12" t="n">
        <v>1</v>
      </c>
      <c r="C8" s="12" t="inlineStr">
        <is>
          <t>Laser-cut acrylic shop</t>
        </is>
      </c>
      <c r="D8" s="13" t="n">
        <v>25</v>
      </c>
      <c r="E8" s="14" t="n">
        <v>90</v>
      </c>
      <c r="F8" s="15" t="n">
        <v>6</v>
      </c>
      <c r="G8" s="16">
        <f>F8*(1+Assumptions!$B$5+Assumptions!$B$6+Assumptions!$B$7)</f>
        <v/>
      </c>
      <c r="H8" s="14" t="n">
        <v>30</v>
      </c>
      <c r="I8" s="17">
        <f>IF(H8=0,0,(H8-G8-Assumptions!$B$8)/H8)</f>
        <v/>
      </c>
      <c r="J8" s="18">
        <f>E8+D8*F8</f>
        <v/>
      </c>
      <c r="K8" s="19">
        <f>IF((H8-G8-Assumptions!$B$8)&lt;=0,0,J8/(H8-G8-Assumptions!$B$8))</f>
        <v/>
      </c>
      <c r="L8" s="20">
        <f>IF(Assumptions!$B$9=0,0,K8/Assumptions!$B$9)</f>
        <v/>
      </c>
    </row>
    <row r="9">
      <c r="A9" s="12" t="inlineStr">
        <is>
          <t>Featured-Exhibit Easel</t>
        </is>
      </c>
      <c r="B9" s="12" t="n">
        <v>1</v>
      </c>
      <c r="C9" s="12" t="inlineStr">
        <is>
          <t>Laser-cut wood shop</t>
        </is>
      </c>
      <c r="D9" s="13" t="n">
        <v>25</v>
      </c>
      <c r="E9" s="14" t="n">
        <v>70</v>
      </c>
      <c r="F9" s="15" t="n">
        <v>3.5</v>
      </c>
      <c r="G9" s="16">
        <f>F9*(1+Assumptions!$B$5+Assumptions!$B$6+Assumptions!$B$7)</f>
        <v/>
      </c>
      <c r="H9" s="14" t="n">
        <v>18</v>
      </c>
      <c r="I9" s="17">
        <f>IF(H9=0,0,(H9-G9-Assumptions!$B$8)/H9)</f>
        <v/>
      </c>
      <c r="J9" s="18">
        <f>E9+D9*F9</f>
        <v/>
      </c>
      <c r="K9" s="19">
        <f>IF((H9-G9-Assumptions!$B$8)&lt;=0,0,J9/(H9-G9-Assumptions!$B$8))</f>
        <v/>
      </c>
      <c r="L9" s="20">
        <f>IF(Assumptions!$B$9=0,0,K9/Assumptions!$B$9)</f>
        <v/>
      </c>
    </row>
    <row r="10">
      <c r="A10" s="12" t="inlineStr">
        <is>
          <t>Backlit Wave Tile</t>
        </is>
      </c>
      <c r="B10" s="12" t="n">
        <v>1</v>
      </c>
      <c r="C10" s="12" t="inlineStr">
        <is>
          <t>Print + LED puck assembly</t>
        </is>
      </c>
      <c r="D10" s="13" t="n">
        <v>25</v>
      </c>
      <c r="E10" s="14" t="n">
        <v>80</v>
      </c>
      <c r="F10" s="15" t="n">
        <v>7.5</v>
      </c>
      <c r="G10" s="16">
        <f>F10*(1+Assumptions!$B$5+Assumptions!$B$6+Assumptions!$B$7)</f>
        <v/>
      </c>
      <c r="H10" s="14" t="n">
        <v>38</v>
      </c>
      <c r="I10" s="17">
        <f>IF(H10=0,0,(H10-G10-Assumptions!$B$8)/H10)</f>
        <v/>
      </c>
      <c r="J10" s="18">
        <f>E10+D10*F10</f>
        <v/>
      </c>
      <c r="K10" s="19">
        <f>IF((H10-G10-Assumptions!$B$8)&lt;=0,0,J10/(H10-G10-Assumptions!$B$8))</f>
        <v/>
      </c>
      <c r="L10" s="20">
        <f>IF(Assumptions!$B$9=0,0,K10/Assumptions!$B$9)</f>
        <v/>
      </c>
    </row>
    <row r="11">
      <c r="A11" s="12" t="inlineStr">
        <is>
          <t>Tide Line Tray (can rack)</t>
        </is>
      </c>
      <c r="B11" s="12" t="n">
        <v>1</v>
      </c>
      <c r="C11" s="12" t="inlineStr">
        <is>
          <t>Small-batch ceramics studio</t>
        </is>
      </c>
      <c r="D11" s="13" t="n">
        <v>50</v>
      </c>
      <c r="E11" s="14" t="n">
        <v>350</v>
      </c>
      <c r="F11" s="15" t="n">
        <v>12</v>
      </c>
      <c r="G11" s="16">
        <f>F11*(1+Assumptions!$B$5+Assumptions!$B$6+Assumptions!$B$7)</f>
        <v/>
      </c>
      <c r="H11" s="14" t="n">
        <v>58</v>
      </c>
      <c r="I11" s="17">
        <f>IF(H11=0,0,(H11-G11-Assumptions!$B$8)/H11)</f>
        <v/>
      </c>
      <c r="J11" s="18">
        <f>E11+D11*F11</f>
        <v/>
      </c>
      <c r="K11" s="19">
        <f>IF((H11-G11-Assumptions!$B$8)&lt;=0,0,J11/(H11-G11-Assumptions!$B$8))</f>
        <v/>
      </c>
      <c r="L11" s="20">
        <f>IF(Assumptions!$B$9=0,0,K11/Assumptions!$B$9)</f>
        <v/>
      </c>
    </row>
    <row r="12">
      <c r="A12" s="12" t="inlineStr">
        <is>
          <t>Tide Chart Coasters (cork)</t>
        </is>
      </c>
      <c r="B12" s="12" t="n">
        <v>2</v>
      </c>
      <c r="C12" s="12" t="inlineStr">
        <is>
          <t>Cork print-on-demand</t>
        </is>
      </c>
      <c r="D12" s="13" t="n">
        <v>50</v>
      </c>
      <c r="E12" s="14" t="n">
        <v>40</v>
      </c>
      <c r="F12" s="15" t="n">
        <v>2.8</v>
      </c>
      <c r="G12" s="16">
        <f>F12*(1+Assumptions!$B$5+Assumptions!$B$6+Assumptions!$B$7)</f>
        <v/>
      </c>
      <c r="H12" s="14" t="n">
        <v>16</v>
      </c>
      <c r="I12" s="17">
        <f>IF(H12=0,0,(H12-G12-Assumptions!$B$8)/H12)</f>
        <v/>
      </c>
      <c r="J12" s="18">
        <f>E12+D12*F12</f>
        <v/>
      </c>
      <c r="K12" s="19">
        <f>IF((H12-G12-Assumptions!$B$8)&lt;=0,0,J12/(H12-G12-Assumptions!$B$8))</f>
        <v/>
      </c>
      <c r="L12" s="20">
        <f>IF(Assumptions!$B$9=0,0,K12/Assumptions!$B$9)</f>
        <v/>
      </c>
    </row>
    <row r="13">
      <c r="A13" s="12" t="inlineStr">
        <is>
          <t>Crest Opener (brass, plaque)</t>
        </is>
      </c>
      <c r="B13" s="12" t="n">
        <v>2</v>
      </c>
      <c r="C13" s="12" t="inlineStr">
        <is>
          <t>Overseas metal fab</t>
        </is>
      </c>
      <c r="D13" s="13" t="n">
        <v>100</v>
      </c>
      <c r="E13" s="14" t="n">
        <v>400</v>
      </c>
      <c r="F13" s="15" t="n">
        <v>7</v>
      </c>
      <c r="G13" s="16">
        <f>F13*(1+Assumptions!$B$5+Assumptions!$B$6+Assumptions!$B$7)</f>
        <v/>
      </c>
      <c r="H13" s="14" t="n">
        <v>36</v>
      </c>
      <c r="I13" s="17">
        <f>IF(H13=0,0,(H13-G13-Assumptions!$B$8)/H13)</f>
        <v/>
      </c>
      <c r="J13" s="18">
        <f>E13+D13*F13</f>
        <v/>
      </c>
      <c r="K13" s="19">
        <f>IF((H13-G13-Assumptions!$B$8)&lt;=0,0,J13/(H13-G13-Assumptions!$B$8))</f>
        <v/>
      </c>
      <c r="L13" s="20">
        <f>IF(Assumptions!$B$9=0,0,K13/Assumptions!$B$9)</f>
        <v/>
      </c>
    </row>
    <row r="14">
      <c r="A14" s="12" t="inlineStr">
        <is>
          <t>Session Hourglass</t>
        </is>
      </c>
      <c r="B14" s="12" t="n">
        <v>2</v>
      </c>
      <c r="C14" s="12" t="inlineStr">
        <is>
          <t>Overseas glass fab (stock + brand)</t>
        </is>
      </c>
      <c r="D14" s="13" t="n">
        <v>100</v>
      </c>
      <c r="E14" s="14" t="n">
        <v>150</v>
      </c>
      <c r="F14" s="15" t="n">
        <v>5</v>
      </c>
      <c r="G14" s="16">
        <f>F14*(1+Assumptions!$B$5+Assumptions!$B$6+Assumptions!$B$7)</f>
        <v/>
      </c>
      <c r="H14" s="14" t="n">
        <v>26</v>
      </c>
      <c r="I14" s="17">
        <f>IF(H14=0,0,(H14-G14-Assumptions!$B$8)/H14)</f>
        <v/>
      </c>
      <c r="J14" s="18">
        <f>E14+D14*F14</f>
        <v/>
      </c>
      <c r="K14" s="19">
        <f>IF((H14-G14-Assumptions!$B$8)&lt;=0,0,J14/(H14-G14-Assumptions!$B$8))</f>
        <v/>
      </c>
      <c r="L14" s="20">
        <f>IF(Assumptions!$B$9=0,0,K14/Assumptions!$B$9)</f>
        <v/>
      </c>
    </row>
    <row r="15">
      <c r="A15" s="12" t="inlineStr">
        <is>
          <t>Dune Scoop Tray</t>
        </is>
      </c>
      <c r="B15" s="12" t="n">
        <v>2</v>
      </c>
      <c r="C15" s="12" t="inlineStr">
        <is>
          <t>Small-batch ceramics studio</t>
        </is>
      </c>
      <c r="D15" s="13" t="n">
        <v>50</v>
      </c>
      <c r="E15" s="14" t="n">
        <v>300</v>
      </c>
      <c r="F15" s="15" t="n">
        <v>9.5</v>
      </c>
      <c r="G15" s="16">
        <f>F15*(1+Assumptions!$B$5+Assumptions!$B$6+Assumptions!$B$7)</f>
        <v/>
      </c>
      <c r="H15" s="14" t="n">
        <v>46</v>
      </c>
      <c r="I15" s="17">
        <f>IF(H15=0,0,(H15-G15-Assumptions!$B$8)/H15)</f>
        <v/>
      </c>
      <c r="J15" s="18">
        <f>E15+D15*F15</f>
        <v/>
      </c>
      <c r="K15" s="19">
        <f>IF((H15-G15-Assumptions!$B$8)&lt;=0,0,J15/(H15-G15-Assumptions!$B$8))</f>
        <v/>
      </c>
      <c r="L15" s="20">
        <f>IF(Assumptions!$B$9=0,0,K15/Assumptions!$B$9)</f>
        <v/>
      </c>
    </row>
    <row r="16">
      <c r="A16" s="12" t="inlineStr">
        <is>
          <t>Magnetic Cap Reef</t>
        </is>
      </c>
      <c r="B16" s="12" t="n">
        <v>2</v>
      </c>
      <c r="C16" s="12" t="inlineStr">
        <is>
          <t>Resin cast + magnets</t>
        </is>
      </c>
      <c r="D16" s="13" t="n">
        <v>25</v>
      </c>
      <c r="E16" s="14" t="n">
        <v>200</v>
      </c>
      <c r="F16" s="15" t="n">
        <v>6.8</v>
      </c>
      <c r="G16" s="16">
        <f>F16*(1+Assumptions!$B$5+Assumptions!$B$6+Assumptions!$B$7)</f>
        <v/>
      </c>
      <c r="H16" s="14" t="n">
        <v>32</v>
      </c>
      <c r="I16" s="17">
        <f>IF(H16=0,0,(H16-G16-Assumptions!$B$8)/H16)</f>
        <v/>
      </c>
      <c r="J16" s="18">
        <f>E16+D16*F16</f>
        <v/>
      </c>
      <c r="K16" s="19">
        <f>IF((H16-G16-Assumptions!$B$8)&lt;=0,0,J16/(H16-G16-Assumptions!$B$8))</f>
        <v/>
      </c>
      <c r="L16" s="20">
        <f>IF(Assumptions!$B$9=0,0,K16/Assumptions!$B$9)</f>
        <v/>
      </c>
    </row>
    <row r="17">
      <c r="A17" s="12" t="inlineStr">
        <is>
          <t>Swell Calendar (acrylic + cards)</t>
        </is>
      </c>
      <c r="B17" s="12" t="n">
        <v>2</v>
      </c>
      <c r="C17" s="12" t="inlineStr">
        <is>
          <t>Laser-cut acrylic + card print</t>
        </is>
      </c>
      <c r="D17" s="13" t="n">
        <v>25</v>
      </c>
      <c r="E17" s="14" t="n">
        <v>100</v>
      </c>
      <c r="F17" s="15" t="n">
        <v>5.2</v>
      </c>
      <c r="G17" s="16">
        <f>F17*(1+Assumptions!$B$5+Assumptions!$B$6+Assumptions!$B$7)</f>
        <v/>
      </c>
      <c r="H17" s="14" t="n">
        <v>30</v>
      </c>
      <c r="I17" s="17">
        <f>IF(H17=0,0,(H17-G17-Assumptions!$B$8)/H17)</f>
        <v/>
      </c>
      <c r="J17" s="18">
        <f>E17+D17*F17</f>
        <v/>
      </c>
      <c r="K17" s="19">
        <f>IF((H17-G17-Assumptions!$B$8)&lt;=0,0,J17/(H17-G17-Assumptions!$B$8))</f>
        <v/>
      </c>
      <c r="L17" s="20">
        <f>IF(Assumptions!$B$9=0,0,K17/Assumptions!$B$9)</f>
        <v/>
      </c>
    </row>
    <row r="18">
      <c r="A18" s="12" t="inlineStr">
        <is>
          <t>Buoy Lamp</t>
        </is>
      </c>
      <c r="B18" s="12" t="n">
        <v>2</v>
      </c>
      <c r="C18" s="12" t="inlineStr">
        <is>
          <t>3D print + LED kit</t>
        </is>
      </c>
      <c r="D18" s="13" t="n">
        <v>25</v>
      </c>
      <c r="E18" s="14" t="n">
        <v>160</v>
      </c>
      <c r="F18" s="15" t="n">
        <v>13</v>
      </c>
      <c r="G18" s="16">
        <f>F18*(1+Assumptions!$B$5+Assumptions!$B$6+Assumptions!$B$7)</f>
        <v/>
      </c>
      <c r="H18" s="14" t="n">
        <v>62</v>
      </c>
      <c r="I18" s="17">
        <f>IF(H18=0,0,(H18-G18-Assumptions!$B$8)/H18)</f>
        <v/>
      </c>
      <c r="J18" s="18">
        <f>E18+D18*F18</f>
        <v/>
      </c>
      <c r="K18" s="19">
        <f>IF((H18-G18-Assumptions!$B$8)&lt;=0,0,J18/(H18-G18-Assumptions!$B$8))</f>
        <v/>
      </c>
      <c r="L18" s="20">
        <f>IF(Assumptions!$B$9=0,0,K18/Assumptions!$B$9)</f>
        <v/>
      </c>
    </row>
    <row r="19">
      <c r="A19" s="12" t="inlineStr">
        <is>
          <t>NES Enamel Pin Set</t>
        </is>
      </c>
      <c r="B19" s="12" t="n">
        <v>2</v>
      </c>
      <c r="C19" s="12" t="inlineStr">
        <is>
          <t>Enamel pin fab</t>
        </is>
      </c>
      <c r="D19" s="13" t="n">
        <v>100</v>
      </c>
      <c r="E19" s="14" t="n">
        <v>120</v>
      </c>
      <c r="F19" s="15" t="n">
        <v>3.2</v>
      </c>
      <c r="G19" s="16">
        <f>F19*(1+Assumptions!$B$5+Assumptions!$B$6+Assumptions!$B$7)</f>
        <v/>
      </c>
      <c r="H19" s="14" t="n">
        <v>18</v>
      </c>
      <c r="I19" s="17">
        <f>IF(H19=0,0,(H19-G19-Assumptions!$B$8)/H19)</f>
        <v/>
      </c>
      <c r="J19" s="18">
        <f>E19+D19*F19</f>
        <v/>
      </c>
      <c r="K19" s="19">
        <f>IF((H19-G19-Assumptions!$B$8)&lt;=0,0,J19/(H19-G19-Assumptions!$B$8))</f>
        <v/>
      </c>
      <c r="L19" s="20">
        <f>IF(Assumptions!$B$9=0,0,K19/Assumptions!$B$9)</f>
        <v/>
      </c>
    </row>
    <row r="20">
      <c r="A20" s="12" t="inlineStr">
        <is>
          <t>Cap Shuffle Runway (felt mat)</t>
        </is>
      </c>
      <c r="B20" s="12" t="n">
        <v>2</v>
      </c>
      <c r="C20" s="12" t="inlineStr">
        <is>
          <t>Printed felt/neoprene fab</t>
        </is>
      </c>
      <c r="D20" s="13" t="n">
        <v>100</v>
      </c>
      <c r="E20" s="14" t="n">
        <v>90</v>
      </c>
      <c r="F20" s="15" t="n">
        <v>4.5</v>
      </c>
      <c r="G20" s="16">
        <f>F20*(1+Assumptions!$B$5+Assumptions!$B$6+Assumptions!$B$7)</f>
        <v/>
      </c>
      <c r="H20" s="14" t="n">
        <v>26</v>
      </c>
      <c r="I20" s="17">
        <f>IF(H20=0,0,(H20-G20-Assumptions!$B$8)/H20)</f>
        <v/>
      </c>
      <c r="J20" s="18">
        <f>E20+D20*F20</f>
        <v/>
      </c>
      <c r="K20" s="19">
        <f>IF((H20-G20-Assumptions!$B$8)&lt;=0,0,J20/(H20-G20-Assumptions!$B$8))</f>
        <v/>
      </c>
      <c r="L20" s="20">
        <f>IF(Assumptions!$B$9=0,0,K20/Assumptions!$B$9)</f>
        <v/>
      </c>
    </row>
    <row r="21">
      <c r="A21" s="12" t="inlineStr">
        <is>
          <t>Pier Piling Koozie</t>
        </is>
      </c>
      <c r="B21" s="12" t="n">
        <v>2</v>
      </c>
      <c r="C21" s="12" t="inlineStr">
        <is>
          <t>Custom neoprene fab</t>
        </is>
      </c>
      <c r="D21" s="13" t="n">
        <v>100</v>
      </c>
      <c r="E21" s="14" t="n">
        <v>110</v>
      </c>
      <c r="F21" s="15" t="n">
        <v>2.6</v>
      </c>
      <c r="G21" s="16">
        <f>F21*(1+Assumptions!$B$5+Assumptions!$B$6+Assumptions!$B$7)</f>
        <v/>
      </c>
      <c r="H21" s="14" t="n">
        <v>14</v>
      </c>
      <c r="I21" s="17">
        <f>IF(H21=0,0,(H21-G21-Assumptions!$B$8)/H21)</f>
        <v/>
      </c>
      <c r="J21" s="18">
        <f>E21+D21*F21</f>
        <v/>
      </c>
      <c r="K21" s="19">
        <f>IF((H21-G21-Assumptions!$B$8)&lt;=0,0,J21/(H21-G21-Assumptions!$B$8))</f>
        <v/>
      </c>
      <c r="L21" s="20">
        <f>IF(Assumptions!$B$9=0,0,K21/Assumptions!$B$9)</f>
        <v/>
      </c>
    </row>
    <row r="23">
      <c r="A23" s="3" t="inlineStr">
        <is>
          <t>PORTFOLIO TOTAL / AVG</t>
        </is>
      </c>
      <c r="I23" s="21">
        <f>AVERAGE(I2:I21)</f>
        <v/>
      </c>
      <c r="J23" s="22">
        <f>SUM(J2:J21)</f>
        <v/>
      </c>
      <c r="K23" s="23">
        <f>SUM(K2:K21)</f>
        <v/>
      </c>
    </row>
    <row r="24">
      <c r="A24" s="2" t="inlineStr">
        <is>
          <t>Total cash to produce all 20 at MOQ -&gt;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2026-07-27T04:37:02Z</dcterms:created>
  <dcterms:modified xsi:type="dcterms:W3CDTF">2026-07-27T04:37:02Z</dcterms:modified>
</cp:coreProperties>
</file>